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Área de Trabalho\DIO\Excel\"/>
    </mc:Choice>
  </mc:AlternateContent>
  <xr:revisionPtr revIDLastSave="0" documentId="13_ncr:1_{FE9E658A-CCAD-4663-825F-536043E168E6}" xr6:coauthVersionLast="47" xr6:coauthVersionMax="47" xr10:uidLastSave="{00000000-0000-0000-0000-000000000000}"/>
  <bookViews>
    <workbookView xWindow="-120" yWindow="-120" windowWidth="20730" windowHeight="11160" tabRatio="0" firstSheet="1" activeTab="1" xr2:uid="{D63472A4-8300-4934-9C87-0EC792DCF89D}"/>
  </bookViews>
  <sheets>
    <sheet name="Dados" sheetId="2" r:id="rId1"/>
    <sheet name="AnálisesInvestimentos" sheetId="3" r:id="rId2"/>
    <sheet name="Tabela de Apoio" sheetId="4" state="hidden" r:id="rId3"/>
  </sheets>
  <definedNames>
    <definedName name="Aporte">AnálisesInvestimentos!$D$15</definedName>
    <definedName name="Patrimonio">AnálisesInvestimentos!$D$18</definedName>
    <definedName name="QtdAnos">AnálisesInvestimentos!$D$16</definedName>
    <definedName name="RendimentoCarteira">AnálisesInvestimentos!$D$11</definedName>
    <definedName name="Salario">AnálisesInvestimentos!$D$10</definedName>
    <definedName name="SugestaoInvestimento">AnálisesInvestimentos!$D$12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3" i="3" l="1"/>
  <c r="A5" i="4"/>
  <c r="D18" i="3"/>
  <c r="D19" i="3" s="1"/>
  <c r="C35" i="3"/>
  <c r="D35" i="3" s="1"/>
  <c r="C36" i="3"/>
  <c r="D36" i="3" s="1"/>
  <c r="C37" i="3"/>
  <c r="D37" i="3" s="1"/>
  <c r="C38" i="3"/>
  <c r="D38" i="3" s="1"/>
  <c r="C39" i="3"/>
  <c r="D39" i="3" s="1"/>
  <c r="C34" i="3"/>
  <c r="D34" i="3" s="1"/>
  <c r="A15" i="4"/>
  <c r="A16" i="4"/>
  <c r="A17" i="4"/>
  <c r="A18" i="4"/>
  <c r="A19" i="4"/>
  <c r="A20" i="4"/>
  <c r="A10" i="4"/>
  <c r="A11" i="4"/>
  <c r="A12" i="4"/>
  <c r="A13" i="4"/>
  <c r="A14" i="4"/>
  <c r="A9" i="4"/>
  <c r="A5" i="2"/>
  <c r="A4" i="4"/>
  <c r="A6" i="4"/>
  <c r="A7" i="4"/>
  <c r="A8" i="4"/>
  <c r="A3" i="4"/>
  <c r="D31" i="3"/>
  <c r="H4" i="2"/>
  <c r="D12" i="3"/>
  <c r="D17" i="3"/>
  <c r="A9" i="2"/>
  <c r="A10" i="2"/>
  <c r="A11" i="2"/>
  <c r="A12" i="2"/>
  <c r="A13" i="2"/>
  <c r="A14" i="2"/>
  <c r="A15" i="2"/>
  <c r="A16" i="2"/>
  <c r="A17" i="2"/>
  <c r="A18" i="2"/>
  <c r="A19" i="2"/>
  <c r="A20" i="2"/>
  <c r="A4" i="2"/>
  <c r="A6" i="2"/>
  <c r="A7" i="2"/>
  <c r="A8" i="2"/>
  <c r="A3" i="2"/>
  <c r="D23" i="3" l="1"/>
  <c r="D40" i="3"/>
  <c r="C22" i="3"/>
  <c r="D22" i="3" s="1"/>
  <c r="C26" i="3"/>
  <c r="D26" i="3" s="1"/>
  <c r="C25" i="3"/>
  <c r="D25" i="3" s="1"/>
  <c r="C24" i="3"/>
  <c r="D24" i="3" s="1"/>
</calcChain>
</file>

<file path=xl/sharedStrings.xml><?xml version="1.0" encoding="utf-8"?>
<sst xmlns="http://schemas.openxmlformats.org/spreadsheetml/2006/main" count="113" uniqueCount="43">
  <si>
    <t>Quanto investir por mês ?</t>
  </si>
  <si>
    <t>Por Quantos Anos ?</t>
  </si>
  <si>
    <t>Taxa de Rendimento mensal ?</t>
  </si>
  <si>
    <t>Patrimônio acumulado ?</t>
  </si>
  <si>
    <t>Dividendos Mensais ?</t>
  </si>
  <si>
    <t>INVESTIMENTO MENSAL</t>
  </si>
  <si>
    <t>Salário</t>
  </si>
  <si>
    <t>CONFIGURAÇÕES</t>
  </si>
  <si>
    <t>Conservador</t>
  </si>
  <si>
    <t>Moderado</t>
  </si>
  <si>
    <t>Agressivo</t>
  </si>
  <si>
    <t>PERFIL</t>
  </si>
  <si>
    <t>TIPO DE FII</t>
  </si>
  <si>
    <t>PAPEL</t>
  </si>
  <si>
    <t>TIJOLO</t>
  </si>
  <si>
    <t>HÍBRIDOS</t>
  </si>
  <si>
    <t>FOFs</t>
  </si>
  <si>
    <t>DESENVOLVIMENTO</t>
  </si>
  <si>
    <t>HOTELARIAS</t>
  </si>
  <si>
    <t>%</t>
  </si>
  <si>
    <t>CHAVE</t>
  </si>
  <si>
    <t>Moderado-TIJOLO</t>
  </si>
  <si>
    <t>CENÁRIOS</t>
  </si>
  <si>
    <t>Acumulado em 2 Anos</t>
  </si>
  <si>
    <t>Acumulado em 5 Anos</t>
  </si>
  <si>
    <t>Acumulado em 10 Anos</t>
  </si>
  <si>
    <t>Acumulado em 20 Anos</t>
  </si>
  <si>
    <t>Acumulado em 30 Anos</t>
  </si>
  <si>
    <t>Valor R$</t>
  </si>
  <si>
    <t>Dividendos R$</t>
  </si>
  <si>
    <t>Rendimento da Carteira</t>
  </si>
  <si>
    <t>Sugestão de Investimento</t>
  </si>
  <si>
    <t>PERFIL DO INVESTIDOR</t>
  </si>
  <si>
    <t>CONSERVADOR</t>
  </si>
  <si>
    <t>Valor do Investimento Mensal</t>
  </si>
  <si>
    <t>TIPOS DE FII</t>
  </si>
  <si>
    <t>PERCENTUAL SUGERIDO</t>
  </si>
  <si>
    <t>HOTELARIA</t>
  </si>
  <si>
    <t>CHAVE COMPOSTA</t>
  </si>
  <si>
    <t>MODERADO</t>
  </si>
  <si>
    <t>AGRESSIVO</t>
  </si>
  <si>
    <t xml:space="preserve"> </t>
  </si>
  <si>
    <t>VALORES R$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</si>
</sst>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R$&quot;#,##0.00;[Red]\-&quot;R$&quot;#,##0.00"/>
    <numFmt numFmtId="43" formatCode="_-* #,##0.00_-;\-* #,##0.00_-;_-* &quot;-&quot;??_-;_-@_-"/>
    <numFmt numFmtId="164" formatCode="0.000%"/>
    <numFmt numFmtId="165" formatCode="&quot;R$&quot;#,##0.00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Segoe UI Light"/>
      <family val="2"/>
    </font>
    <font>
      <b/>
      <sz val="20"/>
      <color rgb="FF0A4359"/>
      <name val="Segoe UI Semibold"/>
      <family val="2"/>
    </font>
    <font>
      <b/>
      <sz val="20"/>
      <color rgb="FFFFFF00"/>
      <name val="Segoe UI Semibold"/>
      <family val="2"/>
    </font>
    <font>
      <b/>
      <vertAlign val="superscript"/>
      <sz val="14"/>
      <color rgb="FFFFFF00"/>
      <name val="Segoe UI Semibold"/>
      <family val="2"/>
    </font>
    <font>
      <sz val="12"/>
      <color theme="0"/>
      <name val="Segoe UI Semibold"/>
      <family val="2"/>
    </font>
    <font>
      <sz val="11"/>
      <color theme="0"/>
      <name val="Segoe UI"/>
      <family val="2"/>
    </font>
    <font>
      <sz val="11"/>
      <color theme="1"/>
      <name val="Segoe UI Light"/>
      <family val="2"/>
    </font>
    <font>
      <sz val="11"/>
      <color theme="1"/>
      <name val="Segoe UI"/>
      <family val="2"/>
    </font>
    <font>
      <b/>
      <sz val="14"/>
      <color rgb="FF0A4359"/>
      <name val="Segoe UI Semibold"/>
      <family val="2"/>
    </font>
    <font>
      <sz val="16"/>
      <color theme="1"/>
      <name val="Segoe UI Semibold"/>
      <family val="2"/>
    </font>
    <font>
      <sz val="20"/>
      <color theme="1"/>
      <name val="Segoe UI Semibold"/>
      <family val="2"/>
    </font>
    <font>
      <sz val="20"/>
      <color theme="0"/>
      <name val="Segoe UI Semibold"/>
      <family val="2"/>
    </font>
    <font>
      <sz val="11"/>
      <color theme="0"/>
      <name val="Segoe UI Semibold"/>
      <family val="2"/>
    </font>
    <font>
      <b/>
      <sz val="11"/>
      <color theme="0"/>
      <name val="Segoe UI Semibold"/>
      <family val="2"/>
    </font>
    <font>
      <b/>
      <sz val="11"/>
      <color theme="1"/>
      <name val="Segoe UI"/>
      <family val="2"/>
    </font>
    <font>
      <sz val="11"/>
      <color theme="1" tint="0.249977111117893"/>
      <name val="Segoe UI"/>
      <family val="2"/>
    </font>
  </fonts>
  <fills count="10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A4359"/>
        <bgColor indexed="64"/>
      </patternFill>
    </fill>
    <fill>
      <patternFill patternType="solid">
        <fgColor rgb="FF127361"/>
        <bgColor indexed="64"/>
      </patternFill>
    </fill>
    <fill>
      <patternFill patternType="solid">
        <fgColor rgb="FF23D9A5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  <xf numFmtId="43" fontId="1" fillId="0" borderId="0" applyFont="0" applyFill="0" applyBorder="0" applyAlignment="0" applyProtection="0"/>
  </cellStyleXfs>
  <cellXfs count="68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0" fontId="2" fillId="2" borderId="0" xfId="2"/>
    <xf numFmtId="0" fontId="0" fillId="0" borderId="1" xfId="0" applyBorder="1"/>
    <xf numFmtId="0" fontId="0" fillId="0" borderId="1" xfId="0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0" fillId="4" borderId="0" xfId="0" applyFill="1"/>
    <xf numFmtId="0" fontId="0" fillId="4" borderId="0" xfId="0" applyFill="1" applyAlignment="1">
      <alignment horizontal="center"/>
    </xf>
    <xf numFmtId="9" fontId="0" fillId="4" borderId="0" xfId="0" applyNumberFormat="1" applyFill="1" applyAlignment="1">
      <alignment horizontal="center"/>
    </xf>
    <xf numFmtId="9" fontId="2" fillId="2" borderId="0" xfId="1" applyFont="1" applyFill="1"/>
    <xf numFmtId="0" fontId="3" fillId="5" borderId="0" xfId="0" applyFont="1" applyFill="1"/>
    <xf numFmtId="0" fontId="3" fillId="5" borderId="0" xfId="0" applyFont="1" applyFill="1" applyAlignment="1">
      <alignment horizontal="center"/>
    </xf>
    <xf numFmtId="0" fontId="6" fillId="6" borderId="4" xfId="0" applyFont="1" applyFill="1" applyBorder="1" applyAlignment="1">
      <alignment vertical="center"/>
    </xf>
    <xf numFmtId="0" fontId="7" fillId="6" borderId="5" xfId="0" applyFont="1" applyFill="1" applyBorder="1" applyAlignment="1">
      <alignment horizontal="center"/>
    </xf>
    <xf numFmtId="0" fontId="7" fillId="6" borderId="2" xfId="0" applyFont="1" applyFill="1" applyBorder="1" applyAlignment="1">
      <alignment horizontal="center"/>
    </xf>
    <xf numFmtId="0" fontId="8" fillId="7" borderId="0" xfId="0" applyFont="1" applyFill="1" applyBorder="1"/>
    <xf numFmtId="0" fontId="9" fillId="7" borderId="0" xfId="0" applyFont="1" applyFill="1" applyAlignment="1">
      <alignment horizontal="center"/>
    </xf>
    <xf numFmtId="0" fontId="4" fillId="0" borderId="0" xfId="0" applyFont="1"/>
    <xf numFmtId="9" fontId="4" fillId="0" borderId="0" xfId="0" applyNumberFormat="1" applyFont="1" applyAlignment="1">
      <alignment horizontal="center" vertical="center"/>
    </xf>
    <xf numFmtId="0" fontId="10" fillId="0" borderId="0" xfId="0" applyFont="1"/>
    <xf numFmtId="0" fontId="10" fillId="0" borderId="1" xfId="0" applyFont="1" applyBorder="1"/>
    <xf numFmtId="0" fontId="4" fillId="0" borderId="1" xfId="0" applyFont="1" applyBorder="1"/>
    <xf numFmtId="9" fontId="4" fillId="0" borderId="1" xfId="0" applyNumberFormat="1" applyFont="1" applyBorder="1" applyAlignment="1">
      <alignment horizontal="center" vertical="center"/>
    </xf>
    <xf numFmtId="9" fontId="4" fillId="0" borderId="0" xfId="0" applyNumberFormat="1" applyFont="1" applyFill="1" applyBorder="1" applyAlignment="1">
      <alignment horizontal="center" vertical="center"/>
    </xf>
    <xf numFmtId="0" fontId="13" fillId="0" borderId="0" xfId="0" applyFont="1"/>
    <xf numFmtId="0" fontId="15" fillId="7" borderId="0" xfId="0" applyFont="1" applyFill="1" applyBorder="1"/>
    <xf numFmtId="0" fontId="14" fillId="7" borderId="0" xfId="0" applyFont="1" applyFill="1"/>
    <xf numFmtId="0" fontId="16" fillId="7" borderId="0" xfId="0" applyFont="1" applyFill="1" applyAlignment="1">
      <alignment horizontal="center"/>
    </xf>
    <xf numFmtId="165" fontId="17" fillId="7" borderId="0" xfId="0" applyNumberFormat="1" applyFont="1" applyFill="1" applyAlignment="1">
      <alignment horizontal="center"/>
    </xf>
    <xf numFmtId="164" fontId="18" fillId="3" borderId="3" xfId="0" applyNumberFormat="1" applyFont="1" applyFill="1" applyBorder="1" applyAlignment="1">
      <alignment horizontal="center"/>
    </xf>
    <xf numFmtId="8" fontId="18" fillId="3" borderId="3" xfId="0" applyNumberFormat="1" applyFont="1" applyFill="1" applyBorder="1" applyAlignment="1">
      <alignment horizontal="center"/>
    </xf>
    <xf numFmtId="8" fontId="18" fillId="3" borderId="10" xfId="0" applyNumberFormat="1" applyFont="1" applyFill="1" applyBorder="1" applyAlignment="1">
      <alignment horizontal="center"/>
    </xf>
    <xf numFmtId="165" fontId="18" fillId="3" borderId="10" xfId="0" applyNumberFormat="1" applyFont="1" applyFill="1" applyBorder="1" applyAlignment="1">
      <alignment horizontal="center"/>
    </xf>
    <xf numFmtId="165" fontId="18" fillId="0" borderId="3" xfId="0" applyNumberFormat="1" applyFont="1" applyBorder="1" applyAlignment="1" applyProtection="1">
      <alignment horizontal="center"/>
      <protection locked="0"/>
    </xf>
    <xf numFmtId="164" fontId="18" fillId="0" borderId="3" xfId="1" applyNumberFormat="1" applyFont="1" applyBorder="1" applyAlignment="1" applyProtection="1">
      <alignment horizontal="center"/>
      <protection locked="0"/>
    </xf>
    <xf numFmtId="0" fontId="18" fillId="0" borderId="3" xfId="0" applyFont="1" applyBorder="1" applyAlignment="1" applyProtection="1">
      <alignment horizontal="center"/>
      <protection locked="0"/>
    </xf>
    <xf numFmtId="0" fontId="19" fillId="3" borderId="6" xfId="0" applyFont="1" applyFill="1" applyBorder="1"/>
    <xf numFmtId="165" fontId="19" fillId="3" borderId="7" xfId="0" applyNumberFormat="1" applyFont="1" applyFill="1" applyBorder="1" applyAlignment="1">
      <alignment horizontal="center"/>
    </xf>
    <xf numFmtId="165" fontId="19" fillId="3" borderId="3" xfId="0" applyNumberFormat="1" applyFont="1" applyFill="1" applyBorder="1" applyAlignment="1">
      <alignment horizontal="center"/>
    </xf>
    <xf numFmtId="0" fontId="19" fillId="3" borderId="8" xfId="0" applyFont="1" applyFill="1" applyBorder="1"/>
    <xf numFmtId="165" fontId="19" fillId="3" borderId="9" xfId="0" applyNumberFormat="1" applyFont="1" applyFill="1" applyBorder="1" applyAlignment="1">
      <alignment horizontal="center"/>
    </xf>
    <xf numFmtId="165" fontId="19" fillId="3" borderId="10" xfId="0" applyNumberFormat="1" applyFont="1" applyFill="1" applyBorder="1" applyAlignment="1">
      <alignment horizontal="center"/>
    </xf>
    <xf numFmtId="0" fontId="11" fillId="3" borderId="0" xfId="0" applyFont="1" applyFill="1"/>
    <xf numFmtId="0" fontId="19" fillId="3" borderId="0" xfId="0" applyFont="1" applyFill="1"/>
    <xf numFmtId="9" fontId="19" fillId="3" borderId="0" xfId="0" applyNumberFormat="1" applyFont="1" applyFill="1" applyAlignment="1">
      <alignment horizontal="center" vertical="center"/>
    </xf>
    <xf numFmtId="165" fontId="19" fillId="3" borderId="0" xfId="3" applyNumberFormat="1" applyFont="1" applyFill="1" applyAlignment="1">
      <alignment horizontal="center" vertical="center"/>
    </xf>
    <xf numFmtId="0" fontId="12" fillId="8" borderId="0" xfId="0" applyFont="1" applyFill="1" applyAlignment="1" applyProtection="1">
      <alignment horizontal="center" vertical="center"/>
      <protection locked="0"/>
    </xf>
    <xf numFmtId="165" fontId="18" fillId="3" borderId="0" xfId="0" applyNumberFormat="1" applyFont="1" applyFill="1" applyBorder="1" applyAlignment="1">
      <alignment horizontal="center"/>
    </xf>
    <xf numFmtId="0" fontId="11" fillId="0" borderId="6" xfId="0" applyFont="1" applyBorder="1" applyAlignment="1">
      <alignment horizontal="left"/>
    </xf>
    <xf numFmtId="0" fontId="11" fillId="0" borderId="7" xfId="0" applyFont="1" applyBorder="1" applyAlignment="1">
      <alignment horizontal="left"/>
    </xf>
    <xf numFmtId="0" fontId="11" fillId="3" borderId="6" xfId="0" applyFont="1" applyFill="1" applyBorder="1" applyAlignment="1">
      <alignment horizontal="left"/>
    </xf>
    <xf numFmtId="0" fontId="11" fillId="3" borderId="7" xfId="0" applyFont="1" applyFill="1" applyBorder="1" applyAlignment="1">
      <alignment horizontal="left"/>
    </xf>
    <xf numFmtId="0" fontId="18" fillId="3" borderId="6" xfId="0" applyFont="1" applyFill="1" applyBorder="1" applyAlignment="1">
      <alignment horizontal="left"/>
    </xf>
    <xf numFmtId="0" fontId="18" fillId="3" borderId="7" xfId="0" applyFont="1" applyFill="1" applyBorder="1" applyAlignment="1">
      <alignment horizontal="left"/>
    </xf>
    <xf numFmtId="0" fontId="18" fillId="3" borderId="8" xfId="0" applyFont="1" applyFill="1" applyBorder="1" applyAlignment="1">
      <alignment horizontal="left"/>
    </xf>
    <xf numFmtId="0" fontId="18" fillId="3" borderId="9" xfId="0" applyFont="1" applyFill="1" applyBorder="1" applyAlignment="1">
      <alignment horizontal="left"/>
    </xf>
    <xf numFmtId="0" fontId="5" fillId="4" borderId="4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11" fillId="9" borderId="6" xfId="0" applyFont="1" applyFill="1" applyBorder="1" applyAlignment="1">
      <alignment horizontal="left"/>
    </xf>
    <xf numFmtId="0" fontId="11" fillId="9" borderId="7" xfId="0" applyFont="1" applyFill="1" applyBorder="1" applyAlignment="1">
      <alignment horizontal="left"/>
    </xf>
    <xf numFmtId="0" fontId="11" fillId="3" borderId="8" xfId="0" applyFont="1" applyFill="1" applyBorder="1" applyAlignment="1">
      <alignment horizontal="left"/>
    </xf>
    <xf numFmtId="0" fontId="11" fillId="3" borderId="9" xfId="0" applyFont="1" applyFill="1" applyBorder="1" applyAlignment="1">
      <alignment horizontal="left"/>
    </xf>
    <xf numFmtId="0" fontId="6" fillId="6" borderId="4" xfId="0" applyFont="1" applyFill="1" applyBorder="1" applyAlignment="1">
      <alignment horizontal="center" vertical="center"/>
    </xf>
    <xf numFmtId="0" fontId="6" fillId="6" borderId="5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</cellXfs>
  <cellStyles count="4">
    <cellStyle name="Neutro" xfId="2" builtinId="28"/>
    <cellStyle name="Normal" xfId="0" builtinId="0"/>
    <cellStyle name="Porcentagem" xfId="1" builtinId="5"/>
    <cellStyle name="Vírgula" xfId="3" builtinId="3"/>
  </cellStyles>
  <dxfs count="0"/>
  <tableStyles count="0" defaultTableStyle="TableStyleMedium2" defaultPivotStyle="PivotStyleLight16"/>
  <colors>
    <mruColors>
      <color rgb="FF0A4359"/>
      <color rgb="FF23D9A5"/>
      <color rgb="FFE2BD74"/>
      <color rgb="FF048ABF"/>
      <color rgb="FF127361"/>
      <color rgb="FF1FBF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509-4D8A-AED7-C9EE92CB37AD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509-4D8A-AED7-C9EE92CB37AD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C509-4D8A-AED7-C9EE92CB37AD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C509-4D8A-AED7-C9EE92CB37AD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C509-4D8A-AED7-C9EE92CB37AD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C509-4D8A-AED7-C9EE92CB37A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AnálisesInvestimentos!$B$34:$B$39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</c:v>
                </c:pt>
              </c:strCache>
            </c:strRef>
          </c:cat>
          <c:val>
            <c:numRef>
              <c:f>AnálisesInvestimentos!$C$34:$C$39</c:f>
              <c:numCache>
                <c:formatCode>0%</c:formatCode>
                <c:ptCount val="6"/>
                <c:pt idx="0">
                  <c:v>0.5</c:v>
                </c:pt>
                <c:pt idx="1">
                  <c:v>0.1</c:v>
                </c:pt>
                <c:pt idx="2">
                  <c:v>0.05</c:v>
                </c:pt>
                <c:pt idx="3">
                  <c:v>0.05</c:v>
                </c:pt>
                <c:pt idx="4">
                  <c:v>0.2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69-4DE1-B9B8-47C5F43D910A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190500</xdr:colOff>
      <xdr:row>1</xdr:row>
      <xdr:rowOff>19051</xdr:rowOff>
    </xdr:from>
    <xdr:to>
      <xdr:col>4</xdr:col>
      <xdr:colOff>257175</xdr:colOff>
      <xdr:row>7</xdr:row>
      <xdr:rowOff>57151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35AC3B5-A987-4A13-91F7-41DCE89C20C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colorTemperature colorTemp="47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b="9606"/>
        <a:stretch/>
      </xdr:blipFill>
      <xdr:spPr>
        <a:xfrm>
          <a:off x="190500" y="161926"/>
          <a:ext cx="7639050" cy="11811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40</xdr:row>
      <xdr:rowOff>4762</xdr:rowOff>
    </xdr:from>
    <xdr:to>
      <xdr:col>4</xdr:col>
      <xdr:colOff>0</xdr:colOff>
      <xdr:row>53</xdr:row>
      <xdr:rowOff>38100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9DF6229-D60F-EC79-332D-8AA65AE072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2371725</xdr:colOff>
      <xdr:row>27</xdr:row>
      <xdr:rowOff>19050</xdr:rowOff>
    </xdr:from>
    <xdr:to>
      <xdr:col>4</xdr:col>
      <xdr:colOff>0</xdr:colOff>
      <xdr:row>28</xdr:row>
      <xdr:rowOff>95250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E37D17D9-B01B-DE0B-EB3C-5202F2C0992E}"/>
            </a:ext>
          </a:extLst>
        </xdr:cNvPr>
        <xdr:cNvSpPr/>
      </xdr:nvSpPr>
      <xdr:spPr>
        <a:xfrm>
          <a:off x="5181600" y="5886450"/>
          <a:ext cx="2390775" cy="266700"/>
        </a:xfrm>
        <a:prstGeom prst="rect">
          <a:avLst/>
        </a:prstGeom>
        <a:solidFill>
          <a:srgbClr val="23D9A5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pt-BR" sz="1100" i="0" baseline="0">
              <a:solidFill>
                <a:srgbClr val="0A4359"/>
              </a:solidFill>
              <a:latin typeface="Segoe UI" panose="020B0502040204020203" pitchFamily="34" charset="0"/>
              <a:cs typeface="Segoe UI" panose="020B0502040204020203" pitchFamily="34" charset="0"/>
            </a:rPr>
            <a:t>Escolha o seu Perfil de Investidor</a:t>
          </a:r>
          <a:r>
            <a:rPr lang="pt-BR" sz="1100" i="0" baseline="0">
              <a:latin typeface="Segoe UI" panose="020B0502040204020203" pitchFamily="34" charset="0"/>
              <a:cs typeface="Segoe UI" panose="020B0502040204020203" pitchFamily="34" charset="0"/>
            </a:rPr>
            <a:t>  </a:t>
          </a:r>
          <a:endParaRPr lang="pt-BR" sz="1100" i="0"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3</xdr:col>
      <xdr:colOff>2171700</xdr:colOff>
      <xdr:row>27</xdr:row>
      <xdr:rowOff>76200</xdr:rowOff>
    </xdr:from>
    <xdr:to>
      <xdr:col>3</xdr:col>
      <xdr:colOff>2274569</xdr:colOff>
      <xdr:row>28</xdr:row>
      <xdr:rowOff>38100</xdr:rowOff>
    </xdr:to>
    <xdr:sp macro="" textlink="">
      <xdr:nvSpPr>
        <xdr:cNvPr id="5" name="Seta: para Baixo 4">
          <a:extLst>
            <a:ext uri="{FF2B5EF4-FFF2-40B4-BE49-F238E27FC236}">
              <a16:creationId xmlns:a16="http://schemas.microsoft.com/office/drawing/2014/main" id="{DC4403A3-2F80-BC00-699C-AFD027190361}"/>
            </a:ext>
          </a:extLst>
        </xdr:cNvPr>
        <xdr:cNvSpPr/>
      </xdr:nvSpPr>
      <xdr:spPr>
        <a:xfrm>
          <a:off x="7362825" y="5943600"/>
          <a:ext cx="102869" cy="152400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rgbClr val="0A4359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3A6F9-1A8F-494B-BC52-78E26FF12D4E}">
  <dimension ref="A2:H21"/>
  <sheetViews>
    <sheetView showGridLines="0" zoomScale="115" zoomScaleNormal="115" workbookViewId="0">
      <selection activeCell="G7" sqref="G7"/>
    </sheetView>
  </sheetViews>
  <sheetFormatPr defaultRowHeight="15" x14ac:dyDescent="0.25"/>
  <cols>
    <col min="1" max="1" width="29.140625" bestFit="1" customWidth="1"/>
    <col min="2" max="2" width="11.5703125" bestFit="1" customWidth="1"/>
    <col min="3" max="3" width="17.7109375" bestFit="1" customWidth="1"/>
    <col min="7" max="7" width="15.42578125" bestFit="1" customWidth="1"/>
  </cols>
  <sheetData>
    <row r="2" spans="1:8" x14ac:dyDescent="0.25">
      <c r="A2" s="12" t="s">
        <v>20</v>
      </c>
      <c r="B2" s="12" t="s">
        <v>11</v>
      </c>
      <c r="C2" s="13" t="s">
        <v>12</v>
      </c>
      <c r="D2" s="13" t="s">
        <v>19</v>
      </c>
    </row>
    <row r="3" spans="1:8" x14ac:dyDescent="0.25">
      <c r="A3" t="str">
        <f>B3&amp;"-"&amp;C3</f>
        <v>Conservador-PAPEL</v>
      </c>
      <c r="B3" t="s">
        <v>8</v>
      </c>
      <c r="C3" s="2" t="s">
        <v>13</v>
      </c>
      <c r="D3" s="3">
        <v>0.3</v>
      </c>
      <c r="H3" t="s">
        <v>19</v>
      </c>
    </row>
    <row r="4" spans="1:8" x14ac:dyDescent="0.25">
      <c r="A4" t="str">
        <f t="shared" ref="A4:A20" si="0">B4&amp;"-"&amp;C4</f>
        <v>Conservador-TIJOLO</v>
      </c>
      <c r="B4" t="s">
        <v>8</v>
      </c>
      <c r="C4" s="2" t="s">
        <v>14</v>
      </c>
      <c r="D4" s="3">
        <v>0.5</v>
      </c>
      <c r="G4" s="4" t="s">
        <v>21</v>
      </c>
      <c r="H4" s="11">
        <f>VLOOKUP(G4,$A:$D,4,FALSE)</f>
        <v>0.35</v>
      </c>
    </row>
    <row r="5" spans="1:8" x14ac:dyDescent="0.25">
      <c r="A5" t="str">
        <f>B5&amp;"-"&amp;C5</f>
        <v>Conservador-HÍBRIDOS</v>
      </c>
      <c r="B5" t="s">
        <v>8</v>
      </c>
      <c r="C5" s="2" t="s">
        <v>15</v>
      </c>
      <c r="D5" s="3">
        <v>0.1</v>
      </c>
    </row>
    <row r="6" spans="1:8" x14ac:dyDescent="0.25">
      <c r="A6" t="str">
        <f t="shared" si="0"/>
        <v>Conservador-FOFs</v>
      </c>
      <c r="B6" t="s">
        <v>8</v>
      </c>
      <c r="C6" s="2" t="s">
        <v>16</v>
      </c>
      <c r="D6" s="3">
        <v>0.1</v>
      </c>
    </row>
    <row r="7" spans="1:8" x14ac:dyDescent="0.25">
      <c r="A7" t="str">
        <f t="shared" si="0"/>
        <v>Conservador-DESENVOLVIMENTO</v>
      </c>
      <c r="B7" t="s">
        <v>8</v>
      </c>
      <c r="C7" s="2" t="s">
        <v>17</v>
      </c>
      <c r="D7" s="3">
        <v>0</v>
      </c>
    </row>
    <row r="8" spans="1:8" ht="15.75" thickBot="1" x14ac:dyDescent="0.3">
      <c r="A8" s="5" t="str">
        <f t="shared" si="0"/>
        <v>Conservador-HOTELARIAS</v>
      </c>
      <c r="B8" s="5" t="s">
        <v>8</v>
      </c>
      <c r="C8" s="6" t="s">
        <v>18</v>
      </c>
      <c r="D8" s="7">
        <v>0</v>
      </c>
    </row>
    <row r="9" spans="1:8" x14ac:dyDescent="0.25">
      <c r="A9" t="str">
        <f t="shared" si="0"/>
        <v>Moderado-PAPEL</v>
      </c>
      <c r="B9" t="s">
        <v>9</v>
      </c>
      <c r="C9" s="2" t="s">
        <v>13</v>
      </c>
      <c r="D9" s="3">
        <v>0.32</v>
      </c>
    </row>
    <row r="10" spans="1:8" x14ac:dyDescent="0.25">
      <c r="A10" s="8" t="str">
        <f t="shared" si="0"/>
        <v>Moderado-TIJOLO</v>
      </c>
      <c r="B10" s="8" t="s">
        <v>9</v>
      </c>
      <c r="C10" s="9" t="s">
        <v>14</v>
      </c>
      <c r="D10" s="10">
        <v>0.35</v>
      </c>
    </row>
    <row r="11" spans="1:8" x14ac:dyDescent="0.25">
      <c r="A11" t="str">
        <f t="shared" si="0"/>
        <v>Moderado-HÍBRIDOS</v>
      </c>
      <c r="B11" t="s">
        <v>9</v>
      </c>
      <c r="C11" s="2" t="s">
        <v>15</v>
      </c>
      <c r="D11" s="3">
        <v>0.08</v>
      </c>
    </row>
    <row r="12" spans="1:8" x14ac:dyDescent="0.25">
      <c r="A12" t="str">
        <f t="shared" si="0"/>
        <v>Moderado-FOFs</v>
      </c>
      <c r="B12" t="s">
        <v>9</v>
      </c>
      <c r="C12" s="2" t="s">
        <v>16</v>
      </c>
      <c r="D12" s="3">
        <v>0.05</v>
      </c>
    </row>
    <row r="13" spans="1:8" x14ac:dyDescent="0.25">
      <c r="A13" t="str">
        <f t="shared" si="0"/>
        <v>Moderado-DESENVOLVIMENTO</v>
      </c>
      <c r="B13" t="s">
        <v>9</v>
      </c>
      <c r="C13" s="2" t="s">
        <v>17</v>
      </c>
      <c r="D13" s="3">
        <v>0.1</v>
      </c>
    </row>
    <row r="14" spans="1:8" ht="15.75" thickBot="1" x14ac:dyDescent="0.3">
      <c r="A14" s="5" t="str">
        <f t="shared" si="0"/>
        <v>Moderado-HOTELARIAS</v>
      </c>
      <c r="B14" s="5" t="s">
        <v>9</v>
      </c>
      <c r="C14" s="6" t="s">
        <v>18</v>
      </c>
      <c r="D14" s="7">
        <v>0.1</v>
      </c>
    </row>
    <row r="15" spans="1:8" x14ac:dyDescent="0.25">
      <c r="A15" t="str">
        <f t="shared" si="0"/>
        <v>Agressivo-PAPEL</v>
      </c>
      <c r="B15" t="s">
        <v>10</v>
      </c>
      <c r="C15" s="2" t="s">
        <v>13</v>
      </c>
      <c r="D15" s="3">
        <v>0.5</v>
      </c>
    </row>
    <row r="16" spans="1:8" x14ac:dyDescent="0.25">
      <c r="A16" t="str">
        <f t="shared" si="0"/>
        <v>Agressivo-TIJOLO</v>
      </c>
      <c r="B16" t="s">
        <v>10</v>
      </c>
      <c r="C16" s="2" t="s">
        <v>14</v>
      </c>
      <c r="D16" s="3">
        <v>0.1</v>
      </c>
    </row>
    <row r="17" spans="1:4" x14ac:dyDescent="0.25">
      <c r="A17" t="str">
        <f t="shared" si="0"/>
        <v>Agressivo-HÍBRIDOS</v>
      </c>
      <c r="B17" t="s">
        <v>10</v>
      </c>
      <c r="C17" s="2" t="s">
        <v>15</v>
      </c>
      <c r="D17" s="3">
        <v>0.05</v>
      </c>
    </row>
    <row r="18" spans="1:4" x14ac:dyDescent="0.25">
      <c r="A18" t="str">
        <f t="shared" si="0"/>
        <v>Agressivo-FOFs</v>
      </c>
      <c r="B18" t="s">
        <v>10</v>
      </c>
      <c r="C18" s="2" t="s">
        <v>16</v>
      </c>
      <c r="D18" s="3">
        <v>0.05</v>
      </c>
    </row>
    <row r="19" spans="1:4" x14ac:dyDescent="0.25">
      <c r="A19" t="str">
        <f t="shared" si="0"/>
        <v>Agressivo-DESENVOLVIMENTO</v>
      </c>
      <c r="B19" t="s">
        <v>10</v>
      </c>
      <c r="C19" s="2" t="s">
        <v>17</v>
      </c>
      <c r="D19" s="3">
        <v>0.2</v>
      </c>
    </row>
    <row r="20" spans="1:4" x14ac:dyDescent="0.25">
      <c r="A20" t="str">
        <f t="shared" si="0"/>
        <v>Agressivo-HOTELARIAS</v>
      </c>
      <c r="B20" t="s">
        <v>10</v>
      </c>
      <c r="C20" s="2" t="s">
        <v>18</v>
      </c>
      <c r="D20" s="3">
        <v>0.1</v>
      </c>
    </row>
    <row r="21" spans="1:4" x14ac:dyDescent="0.25">
      <c r="D21" s="2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9DE7B-D6CF-4421-A30E-66A423181D3E}">
  <dimension ref="A1:L40"/>
  <sheetViews>
    <sheetView showGridLines="0" showRowColHeaders="0" tabSelected="1" zoomScale="80" zoomScaleNormal="80" zoomScaleSheetLayoutView="80" workbookViewId="0">
      <selection activeCell="D30" sqref="D30"/>
    </sheetView>
  </sheetViews>
  <sheetFormatPr defaultColWidth="9.140625" defaultRowHeight="15" x14ac:dyDescent="0.25"/>
  <cols>
    <col min="1" max="1" width="6.42578125" customWidth="1"/>
    <col min="2" max="4" width="35.7109375" customWidth="1"/>
    <col min="5" max="5" width="6.5703125" customWidth="1"/>
    <col min="6" max="6" width="15.28515625" customWidth="1"/>
  </cols>
  <sheetData>
    <row r="1" spans="2:4" ht="11.25" customHeight="1" x14ac:dyDescent="0.25"/>
    <row r="9" spans="2:4" ht="30" customHeight="1" x14ac:dyDescent="0.25">
      <c r="B9" s="58" t="s">
        <v>7</v>
      </c>
      <c r="C9" s="59"/>
      <c r="D9" s="60"/>
    </row>
    <row r="10" spans="2:4" ht="16.5" x14ac:dyDescent="0.3">
      <c r="B10" s="61" t="s">
        <v>6</v>
      </c>
      <c r="C10" s="62"/>
      <c r="D10" s="35">
        <v>7500</v>
      </c>
    </row>
    <row r="11" spans="2:4" ht="16.5" x14ac:dyDescent="0.3">
      <c r="B11" s="61" t="s">
        <v>30</v>
      </c>
      <c r="C11" s="62"/>
      <c r="D11" s="36">
        <v>1.0789999999999999E-2</v>
      </c>
    </row>
    <row r="12" spans="2:4" ht="16.5" x14ac:dyDescent="0.3">
      <c r="B12" s="63" t="s">
        <v>31</v>
      </c>
      <c r="C12" s="64"/>
      <c r="D12" s="34">
        <f>Salario*0.3</f>
        <v>2250</v>
      </c>
    </row>
    <row r="13" spans="2:4" ht="14.25" customHeight="1" x14ac:dyDescent="0.25"/>
    <row r="14" spans="2:4" ht="30" customHeight="1" x14ac:dyDescent="0.25">
      <c r="B14" s="65" t="s">
        <v>5</v>
      </c>
      <c r="C14" s="66"/>
      <c r="D14" s="67"/>
    </row>
    <row r="15" spans="2:4" ht="16.5" x14ac:dyDescent="0.3">
      <c r="B15" s="50" t="s">
        <v>0</v>
      </c>
      <c r="C15" s="51"/>
      <c r="D15" s="35">
        <v>1500</v>
      </c>
    </row>
    <row r="16" spans="2:4" ht="16.5" x14ac:dyDescent="0.3">
      <c r="B16" s="50" t="s">
        <v>1</v>
      </c>
      <c r="C16" s="51"/>
      <c r="D16" s="37">
        <v>10</v>
      </c>
    </row>
    <row r="17" spans="1:12" ht="16.5" x14ac:dyDescent="0.3">
      <c r="B17" s="52" t="s">
        <v>2</v>
      </c>
      <c r="C17" s="53"/>
      <c r="D17" s="31">
        <f>RendimentoCarteira</f>
        <v>1.0789999999999999E-2</v>
      </c>
    </row>
    <row r="18" spans="1:12" ht="16.5" x14ac:dyDescent="0.3">
      <c r="B18" s="54" t="s">
        <v>3</v>
      </c>
      <c r="C18" s="55"/>
      <c r="D18" s="32">
        <f>FV(RendimentoCarteira,QtdAnos*12,Aporte)*-1</f>
        <v>364926.3187952583</v>
      </c>
    </row>
    <row r="19" spans="1:12" ht="16.5" x14ac:dyDescent="0.3">
      <c r="B19" s="56" t="s">
        <v>4</v>
      </c>
      <c r="C19" s="57"/>
      <c r="D19" s="33">
        <f>Patrimonio*RendimentoCarteira</f>
        <v>3937.5549798008369</v>
      </c>
    </row>
    <row r="21" spans="1:12" ht="30.75" x14ac:dyDescent="0.35">
      <c r="B21" s="14" t="s">
        <v>22</v>
      </c>
      <c r="C21" s="15" t="s">
        <v>28</v>
      </c>
      <c r="D21" s="16" t="s">
        <v>29</v>
      </c>
    </row>
    <row r="22" spans="1:12" ht="16.5" x14ac:dyDescent="0.3">
      <c r="A22" s="1">
        <v>2</v>
      </c>
      <c r="B22" s="38" t="s">
        <v>23</v>
      </c>
      <c r="C22" s="39">
        <f>FV($D$17,$A22*12,$D$15)*-1</f>
        <v>40841.440946467825</v>
      </c>
      <c r="D22" s="40">
        <f>C22*RendimentoCarteira</f>
        <v>440.67914781238778</v>
      </c>
    </row>
    <row r="23" spans="1:12" ht="16.5" x14ac:dyDescent="0.3">
      <c r="A23" s="1">
        <v>5</v>
      </c>
      <c r="B23" s="38" t="s">
        <v>24</v>
      </c>
      <c r="C23" s="39">
        <f>FV($D$17,$A23*12,$D$15)*-1</f>
        <v>125665.37099773147</v>
      </c>
      <c r="D23" s="40">
        <f>C23*RendimentoCarteira</f>
        <v>1355.9293530655225</v>
      </c>
    </row>
    <row r="24" spans="1:12" ht="16.5" x14ac:dyDescent="0.3">
      <c r="A24" s="1">
        <v>10</v>
      </c>
      <c r="B24" s="38" t="s">
        <v>25</v>
      </c>
      <c r="C24" s="39">
        <f>FV($D$17,$A24*12,$D$15)*-1</f>
        <v>364926.3187952583</v>
      </c>
      <c r="D24" s="40">
        <f>C24*RendimentoCarteira</f>
        <v>3937.5549798008369</v>
      </c>
    </row>
    <row r="25" spans="1:12" ht="16.5" x14ac:dyDescent="0.3">
      <c r="A25" s="1">
        <v>20</v>
      </c>
      <c r="B25" s="38" t="s">
        <v>26</v>
      </c>
      <c r="C25" s="39">
        <f>FV($D$17,$A25*12,$D$15)*-1</f>
        <v>1687797.600145621</v>
      </c>
      <c r="D25" s="40">
        <f>C25*RendimentoCarteira</f>
        <v>18211.336105571248</v>
      </c>
    </row>
    <row r="26" spans="1:12" ht="16.5" x14ac:dyDescent="0.3">
      <c r="A26" s="1">
        <v>30</v>
      </c>
      <c r="B26" s="41" t="s">
        <v>27</v>
      </c>
      <c r="C26" s="42">
        <f>FV($D$17,$A26*12,$D$15)*-1</f>
        <v>6483254.4825070715</v>
      </c>
      <c r="D26" s="43">
        <f>C26*RendimentoCarteira</f>
        <v>69954.315866251301</v>
      </c>
    </row>
    <row r="27" spans="1:12" ht="11.25" customHeight="1" x14ac:dyDescent="0.25"/>
    <row r="29" spans="1:12" x14ac:dyDescent="0.25">
      <c r="L29" t="s">
        <v>41</v>
      </c>
    </row>
    <row r="30" spans="1:12" s="26" customFormat="1" ht="30.75" x14ac:dyDescent="0.55000000000000004">
      <c r="B30" s="27" t="s">
        <v>32</v>
      </c>
      <c r="C30" s="28"/>
      <c r="D30" s="48" t="s">
        <v>40</v>
      </c>
    </row>
    <row r="31" spans="1:12" ht="16.5" x14ac:dyDescent="0.3">
      <c r="B31" s="44" t="s">
        <v>34</v>
      </c>
      <c r="C31" s="44"/>
      <c r="D31" s="49">
        <f>Aporte</f>
        <v>1500</v>
      </c>
    </row>
    <row r="33" spans="2:4" ht="17.25" x14ac:dyDescent="0.3">
      <c r="B33" s="17" t="s">
        <v>35</v>
      </c>
      <c r="C33" s="29" t="s">
        <v>36</v>
      </c>
      <c r="D33" s="29" t="s">
        <v>42</v>
      </c>
    </row>
    <row r="34" spans="2:4" ht="16.5" x14ac:dyDescent="0.3">
      <c r="B34" s="45" t="s">
        <v>13</v>
      </c>
      <c r="C34" s="46">
        <f>VLOOKUP($D$30&amp;"-"&amp;B34,'Tabela de Apoio'!A2:D20,4,0)</f>
        <v>0.5</v>
      </c>
      <c r="D34" s="47">
        <f t="shared" ref="D34:D39" si="0">Aporte*C34</f>
        <v>750</v>
      </c>
    </row>
    <row r="35" spans="2:4" ht="16.5" x14ac:dyDescent="0.3">
      <c r="B35" s="45" t="s">
        <v>14</v>
      </c>
      <c r="C35" s="46">
        <f>VLOOKUP($D$30&amp;"-"&amp;B35,'Tabela de Apoio'!A3:D21,4,0)</f>
        <v>0.1</v>
      </c>
      <c r="D35" s="47">
        <f t="shared" si="0"/>
        <v>150</v>
      </c>
    </row>
    <row r="36" spans="2:4" ht="16.5" x14ac:dyDescent="0.3">
      <c r="B36" s="45" t="s">
        <v>15</v>
      </c>
      <c r="C36" s="46">
        <f>VLOOKUP($D$30&amp;"-"&amp;B36,'Tabela de Apoio'!A4:D22,4,0)</f>
        <v>0.05</v>
      </c>
      <c r="D36" s="47">
        <f t="shared" si="0"/>
        <v>75</v>
      </c>
    </row>
    <row r="37" spans="2:4" ht="16.5" x14ac:dyDescent="0.3">
      <c r="B37" s="45" t="s">
        <v>16</v>
      </c>
      <c r="C37" s="46">
        <f>VLOOKUP($D$30&amp;"-"&amp;B37,'Tabela de Apoio'!A5:D23,4,0)</f>
        <v>0.05</v>
      </c>
      <c r="D37" s="47">
        <f t="shared" si="0"/>
        <v>75</v>
      </c>
    </row>
    <row r="38" spans="2:4" ht="16.5" x14ac:dyDescent="0.3">
      <c r="B38" s="45" t="s">
        <v>17</v>
      </c>
      <c r="C38" s="46">
        <f>VLOOKUP($D$30&amp;"-"&amp;B38,'Tabela de Apoio'!A6:D24,4,0)</f>
        <v>0.2</v>
      </c>
      <c r="D38" s="47">
        <f t="shared" si="0"/>
        <v>300</v>
      </c>
    </row>
    <row r="39" spans="2:4" ht="16.5" x14ac:dyDescent="0.3">
      <c r="B39" s="45" t="s">
        <v>37</v>
      </c>
      <c r="C39" s="46">
        <f>VLOOKUP($D$30&amp;"-"&amp;B39,'Tabela de Apoio'!A7:D25,4,0)</f>
        <v>0.1</v>
      </c>
      <c r="D39" s="47">
        <f t="shared" si="0"/>
        <v>150</v>
      </c>
    </row>
    <row r="40" spans="2:4" ht="17.25" x14ac:dyDescent="0.3">
      <c r="B40" s="17"/>
      <c r="C40" s="18"/>
      <c r="D40" s="30">
        <f>SUM(D34:D39)</f>
        <v>1500</v>
      </c>
    </row>
  </sheetData>
  <sheetProtection sheet="1" objects="1" scenarios="1" selectLockedCells="1"/>
  <mergeCells count="10">
    <mergeCell ref="B9:D9"/>
    <mergeCell ref="B10:C10"/>
    <mergeCell ref="B11:C11"/>
    <mergeCell ref="B12:C12"/>
    <mergeCell ref="B14:D14"/>
    <mergeCell ref="B15:C15"/>
    <mergeCell ref="B16:C16"/>
    <mergeCell ref="B17:C17"/>
    <mergeCell ref="B18:C18"/>
    <mergeCell ref="B19:C19"/>
  </mergeCells>
  <dataValidations count="1">
    <dataValidation type="list" allowBlank="1" showInputMessage="1" showErrorMessage="1" sqref="D30" xr:uid="{044CBDD4-DF64-430A-92D2-F5FE8D467A05}">
      <formula1>"CONSERVADOR,MODERADO,AGRESSIVO"</formula1>
    </dataValidation>
  </dataValidations>
  <pageMargins left="0.511811024" right="0.511811024" top="0.78740157499999996" bottom="0.78740157499999996" header="0.31496062000000002" footer="0.31496062000000002"/>
  <pageSetup paperSize="9" scale="77"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7E7C9-4B14-4735-98AF-87A61ED0EC29}">
  <dimension ref="A2:D20"/>
  <sheetViews>
    <sheetView topLeftCell="A4" workbookViewId="0">
      <selection activeCell="H9" sqref="H9"/>
    </sheetView>
  </sheetViews>
  <sheetFormatPr defaultRowHeight="15" x14ac:dyDescent="0.25"/>
  <cols>
    <col min="1" max="1" width="36.140625" bestFit="1" customWidth="1"/>
    <col min="2" max="2" width="15.5703125" bestFit="1" customWidth="1"/>
    <col min="3" max="3" width="21.5703125" bestFit="1" customWidth="1"/>
  </cols>
  <sheetData>
    <row r="2" spans="1:4" ht="17.25" x14ac:dyDescent="0.3">
      <c r="A2" s="17" t="s">
        <v>38</v>
      </c>
      <c r="B2" s="17" t="s">
        <v>11</v>
      </c>
      <c r="C2" s="17" t="s">
        <v>35</v>
      </c>
      <c r="D2" s="17" t="s">
        <v>19</v>
      </c>
    </row>
    <row r="3" spans="1:4" ht="17.25" x14ac:dyDescent="0.3">
      <c r="A3" s="21" t="str">
        <f>B3&amp;"-"&amp;C3</f>
        <v>CONSERVADOR-PAPEL</v>
      </c>
      <c r="B3" s="21" t="s">
        <v>33</v>
      </c>
      <c r="C3" s="19" t="s">
        <v>13</v>
      </c>
      <c r="D3" s="20">
        <v>0.3</v>
      </c>
    </row>
    <row r="4" spans="1:4" ht="17.25" x14ac:dyDescent="0.3">
      <c r="A4" s="21" t="str">
        <f t="shared" ref="A4:A8" si="0">B4&amp;"-"&amp;C4</f>
        <v>CONSERVADOR-TIJOLO</v>
      </c>
      <c r="B4" s="21" t="s">
        <v>33</v>
      </c>
      <c r="C4" s="19" t="s">
        <v>14</v>
      </c>
      <c r="D4" s="20">
        <v>0.5</v>
      </c>
    </row>
    <row r="5" spans="1:4" ht="17.25" x14ac:dyDescent="0.3">
      <c r="A5" s="21" t="str">
        <f>B5&amp;"-"&amp;C5</f>
        <v>CONSERVADOR-HÍBRIDOS</v>
      </c>
      <c r="B5" s="21" t="s">
        <v>33</v>
      </c>
      <c r="C5" s="19" t="s">
        <v>15</v>
      </c>
      <c r="D5" s="20">
        <v>0.1</v>
      </c>
    </row>
    <row r="6" spans="1:4" ht="17.25" x14ac:dyDescent="0.3">
      <c r="A6" s="21" t="str">
        <f t="shared" si="0"/>
        <v>CONSERVADOR-FOFs</v>
      </c>
      <c r="B6" s="21" t="s">
        <v>33</v>
      </c>
      <c r="C6" s="19" t="s">
        <v>16</v>
      </c>
      <c r="D6" s="20">
        <v>0.1</v>
      </c>
    </row>
    <row r="7" spans="1:4" ht="17.25" x14ac:dyDescent="0.3">
      <c r="A7" s="21" t="str">
        <f t="shared" si="0"/>
        <v>CONSERVADOR-DESENVOLVIMENTO</v>
      </c>
      <c r="B7" s="21" t="s">
        <v>33</v>
      </c>
      <c r="C7" s="19" t="s">
        <v>17</v>
      </c>
      <c r="D7" s="20">
        <v>0</v>
      </c>
    </row>
    <row r="8" spans="1:4" ht="18" thickBot="1" x14ac:dyDescent="0.35">
      <c r="A8" s="22" t="str">
        <f t="shared" si="0"/>
        <v>CONSERVADOR-HOTELARIA</v>
      </c>
      <c r="B8" s="22" t="s">
        <v>33</v>
      </c>
      <c r="C8" s="23" t="s">
        <v>37</v>
      </c>
      <c r="D8" s="24">
        <v>0</v>
      </c>
    </row>
    <row r="9" spans="1:4" ht="17.25" x14ac:dyDescent="0.3">
      <c r="A9" s="21" t="str">
        <f>B9&amp;"-"&amp;C9</f>
        <v>MODERADO-PAPEL</v>
      </c>
      <c r="B9" s="21" t="s">
        <v>39</v>
      </c>
      <c r="C9" s="19" t="s">
        <v>13</v>
      </c>
      <c r="D9" s="25">
        <v>0.32</v>
      </c>
    </row>
    <row r="10" spans="1:4" ht="17.25" x14ac:dyDescent="0.3">
      <c r="A10" s="21" t="str">
        <f t="shared" ref="A10:A20" si="1">B10&amp;"-"&amp;C10</f>
        <v>MODERADO-TIJOLO</v>
      </c>
      <c r="B10" s="21" t="s">
        <v>39</v>
      </c>
      <c r="C10" s="19" t="s">
        <v>14</v>
      </c>
      <c r="D10" s="25">
        <v>0.3</v>
      </c>
    </row>
    <row r="11" spans="1:4" ht="17.25" x14ac:dyDescent="0.3">
      <c r="A11" s="21" t="str">
        <f t="shared" si="1"/>
        <v>MODERADO-HÍBRIDOS</v>
      </c>
      <c r="B11" s="21" t="s">
        <v>39</v>
      </c>
      <c r="C11" s="19" t="s">
        <v>15</v>
      </c>
      <c r="D11" s="25">
        <v>0.08</v>
      </c>
    </row>
    <row r="12" spans="1:4" ht="17.25" x14ac:dyDescent="0.3">
      <c r="A12" s="21" t="str">
        <f t="shared" si="1"/>
        <v>MODERADO-FOFs</v>
      </c>
      <c r="B12" s="21" t="s">
        <v>39</v>
      </c>
      <c r="C12" s="19" t="s">
        <v>16</v>
      </c>
      <c r="D12" s="25">
        <v>0.1</v>
      </c>
    </row>
    <row r="13" spans="1:4" ht="17.25" x14ac:dyDescent="0.3">
      <c r="A13" s="21" t="str">
        <f t="shared" si="1"/>
        <v>MODERADO-DESENVOLVIMENTO</v>
      </c>
      <c r="B13" s="21" t="s">
        <v>39</v>
      </c>
      <c r="C13" s="19" t="s">
        <v>17</v>
      </c>
      <c r="D13" s="25">
        <v>0.1</v>
      </c>
    </row>
    <row r="14" spans="1:4" ht="18" thickBot="1" x14ac:dyDescent="0.35">
      <c r="A14" s="22" t="str">
        <f t="shared" si="1"/>
        <v>MODERADO-HOTELARIA</v>
      </c>
      <c r="B14" s="22" t="s">
        <v>39</v>
      </c>
      <c r="C14" s="23" t="s">
        <v>37</v>
      </c>
      <c r="D14" s="24">
        <v>0.1</v>
      </c>
    </row>
    <row r="15" spans="1:4" ht="17.25" x14ac:dyDescent="0.3">
      <c r="A15" s="21" t="str">
        <f t="shared" si="1"/>
        <v>AGRESSIVO-PAPEL</v>
      </c>
      <c r="B15" s="21" t="s">
        <v>40</v>
      </c>
      <c r="C15" s="19" t="s">
        <v>13</v>
      </c>
      <c r="D15" s="25">
        <v>0.5</v>
      </c>
    </row>
    <row r="16" spans="1:4" ht="17.25" x14ac:dyDescent="0.3">
      <c r="A16" s="21" t="str">
        <f t="shared" si="1"/>
        <v>AGRESSIVO-TIJOLO</v>
      </c>
      <c r="B16" s="21" t="s">
        <v>40</v>
      </c>
      <c r="C16" s="19" t="s">
        <v>14</v>
      </c>
      <c r="D16" s="25">
        <v>0.1</v>
      </c>
    </row>
    <row r="17" spans="1:4" ht="17.25" x14ac:dyDescent="0.3">
      <c r="A17" s="21" t="str">
        <f t="shared" si="1"/>
        <v>AGRESSIVO-HÍBRIDOS</v>
      </c>
      <c r="B17" s="21" t="s">
        <v>40</v>
      </c>
      <c r="C17" s="19" t="s">
        <v>15</v>
      </c>
      <c r="D17" s="25">
        <v>0.05</v>
      </c>
    </row>
    <row r="18" spans="1:4" ht="17.25" x14ac:dyDescent="0.3">
      <c r="A18" s="21" t="str">
        <f t="shared" si="1"/>
        <v>AGRESSIVO-FOFs</v>
      </c>
      <c r="B18" s="21" t="s">
        <v>40</v>
      </c>
      <c r="C18" s="19" t="s">
        <v>16</v>
      </c>
      <c r="D18" s="25">
        <v>0.05</v>
      </c>
    </row>
    <row r="19" spans="1:4" ht="17.25" x14ac:dyDescent="0.3">
      <c r="A19" s="21" t="str">
        <f t="shared" si="1"/>
        <v>AGRESSIVO-DESENVOLVIMENTO</v>
      </c>
      <c r="B19" s="21" t="s">
        <v>40</v>
      </c>
      <c r="C19" s="19" t="s">
        <v>17</v>
      </c>
      <c r="D19" s="25">
        <v>0.2</v>
      </c>
    </row>
    <row r="20" spans="1:4" ht="17.25" x14ac:dyDescent="0.3">
      <c r="A20" s="21" t="str">
        <f t="shared" si="1"/>
        <v>AGRESSIVO-HOTELARIA</v>
      </c>
      <c r="B20" s="21" t="s">
        <v>40</v>
      </c>
      <c r="C20" s="19" t="s">
        <v>37</v>
      </c>
      <c r="D20" s="25">
        <v>0.1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4D0D6DD-E6DB-45C8-8F90-E314C090C085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62BBC473-00BC-48E4-BFA3-FE8E2B1F00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32110DE-3D77-470C-9CED-65521C30E3F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6</vt:i4>
      </vt:variant>
    </vt:vector>
  </HeadingPairs>
  <TitlesOfParts>
    <vt:vector size="9" baseType="lpstr">
      <vt:lpstr>Dados</vt:lpstr>
      <vt:lpstr>AnálisesInvestimentos</vt:lpstr>
      <vt:lpstr>Tabela de Apoio</vt:lpstr>
      <vt:lpstr>Aporte</vt:lpstr>
      <vt:lpstr>Patrimonio</vt:lpstr>
      <vt:lpstr>QtdAnos</vt:lpstr>
      <vt:lpstr>RendimentoCarteira</vt:lpstr>
      <vt:lpstr>Salario</vt:lpstr>
      <vt:lpstr>SugestaoInvestimento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Silva Aguiar</dc:creator>
  <cp:lastModifiedBy>Alessandro Oliveira</cp:lastModifiedBy>
  <cp:lastPrinted>2026-09-16T18:15:16Z</cp:lastPrinted>
  <dcterms:created xsi:type="dcterms:W3CDTF">2025-04-16T18:38:03Z</dcterms:created>
  <dcterms:modified xsi:type="dcterms:W3CDTF">2026-09-16T18:23:52Z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